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tig\Documents\LNM\Master students\"/>
    </mc:Choice>
  </mc:AlternateContent>
  <xr:revisionPtr revIDLastSave="0" documentId="8_{C44B340D-C9FB-4124-A16A-73007C8A0F04}" xr6:coauthVersionLast="47" xr6:coauthVersionMax="47" xr10:uidLastSave="{00000000-0000-0000-0000-000000000000}"/>
  <bookViews>
    <workbookView xWindow="-108" yWindow="-108" windowWidth="30936" windowHeight="16776" xr2:uid="{51F94F1F-841F-4C12-9693-78F5E0C14C5D}"/>
  </bookViews>
  <sheets>
    <sheet name="Sheet1" sheetId="1" r:id="rId1"/>
  </sheets>
  <definedNames>
    <definedName name="a0" localSheetId="0">Sheet1!$B$14</definedName>
    <definedName name="a0_W" localSheetId="0">Sheet1!$B$15</definedName>
    <definedName name="Ae" localSheetId="0">Sheet1!$F$4</definedName>
    <definedName name="Ap" localSheetId="0">Sheet1!$F$6</definedName>
    <definedName name="At">Sheet1!$F$5</definedName>
    <definedName name="B" localSheetId="0">Sheet1!$B$11</definedName>
    <definedName name="b0" localSheetId="0">Sheet1!$B$16</definedName>
    <definedName name="Jc_plain_strain" localSheetId="0">Sheet1!$B$31</definedName>
    <definedName name="Je_plain_strain" localSheetId="0">Sheet1!$B$29</definedName>
    <definedName name="Jp" localSheetId="0">Sheet1!$B$30</definedName>
    <definedName name="Plain_strain_E" localSheetId="0">Sheet1!$B$22</definedName>
    <definedName name="Pmax" localSheetId="0">Sheet1!$F$2</definedName>
    <definedName name="Poissons_ratio" localSheetId="0">Sheet1!$B$21</definedName>
    <definedName name="W" localSheetId="0">Sheet1!$B$10</definedName>
    <definedName name="Yield_stress" localSheetId="0">Sheet1!$B$23</definedName>
    <definedName name="Youngs_modul" localSheetId="0">Sheet1!$B$20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15" i="1"/>
  <c r="B17" i="1" s="1"/>
  <c r="B28" i="1" s="1"/>
  <c r="B29" i="1" s="1"/>
  <c r="F6" i="1"/>
  <c r="F4" i="1"/>
  <c r="B16" i="1" l="1"/>
  <c r="B25" i="1" l="1"/>
  <c r="B30" i="1"/>
  <c r="B31" i="1" s="1"/>
  <c r="B32" i="1" s="1"/>
  <c r="B33" i="1" s="1"/>
</calcChain>
</file>

<file path=xl/sharedStrings.xml><?xml version="1.0" encoding="utf-8"?>
<sst xmlns="http://schemas.openxmlformats.org/spreadsheetml/2006/main" count="59" uniqueCount="45">
  <si>
    <t>Test data</t>
  </si>
  <si>
    <t>Material</t>
  </si>
  <si>
    <t>Eurofer97</t>
  </si>
  <si>
    <t>Pmax</t>
  </si>
  <si>
    <t>kN</t>
  </si>
  <si>
    <t>Specimen type</t>
  </si>
  <si>
    <t>KLST sample6</t>
  </si>
  <si>
    <t>1/C0</t>
  </si>
  <si>
    <t>kN/cm</t>
  </si>
  <si>
    <t>Orientation</t>
  </si>
  <si>
    <t>Ae</t>
  </si>
  <si>
    <t>kN*cm</t>
  </si>
  <si>
    <t>Irradiation exp.</t>
  </si>
  <si>
    <t>At</t>
  </si>
  <si>
    <t>Test temperature</t>
  </si>
  <si>
    <t>°C</t>
  </si>
  <si>
    <t>Ap</t>
  </si>
  <si>
    <t>Specimen geometry</t>
  </si>
  <si>
    <t>Side grooves</t>
  </si>
  <si>
    <t>W</t>
  </si>
  <si>
    <t>cm</t>
  </si>
  <si>
    <t>B</t>
  </si>
  <si>
    <t>Bn</t>
  </si>
  <si>
    <t>S</t>
  </si>
  <si>
    <t>a0</t>
  </si>
  <si>
    <t>a0/W</t>
  </si>
  <si>
    <t>b0</t>
  </si>
  <si>
    <t>f(a0/W)</t>
  </si>
  <si>
    <t>eta</t>
  </si>
  <si>
    <t>Material properties</t>
  </si>
  <si>
    <t>Youngs modulus</t>
  </si>
  <si>
    <t>MPa</t>
  </si>
  <si>
    <t>Poissons ratio</t>
  </si>
  <si>
    <t>Plain strain E</t>
  </si>
  <si>
    <t>Yield stress</t>
  </si>
  <si>
    <t>KJc limit plain strain</t>
  </si>
  <si>
    <t>MPaVm</t>
  </si>
  <si>
    <t>Fracture parameters</t>
  </si>
  <si>
    <t>Ke</t>
  </si>
  <si>
    <t>Je plain strain</t>
  </si>
  <si>
    <t>MPam</t>
  </si>
  <si>
    <t>Jp</t>
  </si>
  <si>
    <t>Jc plain strain</t>
  </si>
  <si>
    <t>KJc plain strain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</si>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</sst>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"/>
    <numFmt numFmtId="165" formatCode="0.0000000"/>
    <numFmt numFmtId="167" formatCode="#,##0.00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Korinna New"/>
    </font>
    <font>
      <sz val="10"/>
      <color indexed="10"/>
      <name val="Korinna New"/>
    </font>
    <font>
      <sz val="10"/>
      <name val="Korinna New"/>
    </font>
    <font>
      <sz val="10"/>
      <color rgb="FFFF0000"/>
      <name val="Korinna New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Continuous"/>
    </xf>
    <xf numFmtId="164" fontId="0" fillId="0" borderId="1" xfId="0" applyNumberFormat="1" applyBorder="1" applyAlignment="1">
      <alignment horizontal="centerContinuous"/>
    </xf>
    <xf numFmtId="0" fontId="0" fillId="0" borderId="1" xfId="0" applyBorder="1" applyAlignment="1">
      <alignment horizontal="centerContinuous"/>
    </xf>
    <xf numFmtId="165" fontId="0" fillId="0" borderId="1" xfId="0" applyNumberFormat="1" applyBorder="1" applyAlignment="1">
      <alignment horizontal="centerContinuous"/>
    </xf>
    <xf numFmtId="164" fontId="3" fillId="0" borderId="0" xfId="0" applyNumberFormat="1" applyFont="1"/>
    <xf numFmtId="165" fontId="3" fillId="0" borderId="0" xfId="0" applyNumberFormat="1" applyFont="1"/>
    <xf numFmtId="165" fontId="4" fillId="0" borderId="0" xfId="0" applyNumberFormat="1" applyFont="1"/>
    <xf numFmtId="165" fontId="5" fillId="0" borderId="0" xfId="0" applyNumberFormat="1" applyFont="1"/>
    <xf numFmtId="164" fontId="0" fillId="0" borderId="0" xfId="0" applyNumberFormat="1"/>
    <xf numFmtId="165" fontId="6" fillId="0" borderId="0" xfId="1" applyNumberFormat="1" applyFont="1"/>
    <xf numFmtId="167" fontId="6" fillId="0" borderId="0" xfId="2" applyNumberFormat="1"/>
    <xf numFmtId="165" fontId="0" fillId="0" borderId="0" xfId="0" applyNumberFormat="1"/>
    <xf numFmtId="164" fontId="4" fillId="0" borderId="0" xfId="0" applyNumberFormat="1" applyFont="1"/>
    <xf numFmtId="0" fontId="4" fillId="2" borderId="0" xfId="0" applyFont="1" applyFill="1"/>
    <xf numFmtId="164" fontId="4" fillId="2" borderId="0" xfId="0" applyNumberFormat="1" applyFont="1" applyFill="1"/>
  </cellXfs>
  <cellStyles count="3">
    <cellStyle name="Comma" xfId="1" builtinId="3"/>
    <cellStyle name="Normal" xfId="0" builtinId="0"/>
    <cellStyle name="Standaard_7874Kjc trial 1" xfId="2" xr:uid="{BA72819E-F0F0-46AE-8C61-2B20A2DD08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72E0-46E6-4987-A268-EE0F7E400A56}">
  <dimension ref="A1:G33"/>
  <sheetViews>
    <sheetView tabSelected="1" workbookViewId="0">
      <selection sqref="A1:G33"/>
    </sheetView>
  </sheetViews>
  <sheetFormatPr defaultRowHeight="14.4"/>
  <cols>
    <col min="2" max="2" width="14" customWidth="1"/>
    <col min="6" max="6" width="11.33203125" customWidth="1"/>
  </cols>
  <sheetData>
    <row r="1" spans="1:7">
      <c r="A1" s="1" t="s">
        <v>0</v>
      </c>
      <c r="B1" s="2"/>
      <c r="C1" s="3"/>
      <c r="E1" s="1" t="s">
        <v>0</v>
      </c>
      <c r="F1" s="4"/>
      <c r="G1" s="3"/>
    </row>
    <row r="2" spans="1:7">
      <c r="A2" t="s">
        <v>1</v>
      </c>
      <c r="B2" s="5" t="s">
        <v>2</v>
      </c>
      <c r="E2" t="s">
        <v>3</v>
      </c>
      <c r="F2" s="6">
        <v>1.0643100000000001</v>
      </c>
      <c r="G2" t="s">
        <v>4</v>
      </c>
    </row>
    <row r="3" spans="1:7">
      <c r="A3" t="s">
        <v>5</v>
      </c>
      <c r="B3" s="5" t="s">
        <v>6</v>
      </c>
      <c r="E3" t="s">
        <v>7</v>
      </c>
      <c r="F3" s="6">
        <v>84.7</v>
      </c>
      <c r="G3" t="s">
        <v>8</v>
      </c>
    </row>
    <row r="4" spans="1:7">
      <c r="A4" t="s">
        <v>9</v>
      </c>
      <c r="B4" s="5"/>
      <c r="E4" t="s">
        <v>10</v>
      </c>
      <c r="F4" s="7">
        <f>0.5*Pmax*Pmax/F3</f>
        <v>6.6868699887839443E-3</v>
      </c>
      <c r="G4" t="s">
        <v>11</v>
      </c>
    </row>
    <row r="5" spans="1:7">
      <c r="A5" t="s">
        <v>12</v>
      </c>
      <c r="B5" s="5"/>
      <c r="E5" t="s">
        <v>13</v>
      </c>
      <c r="F5" s="8">
        <v>2.7890000000000002E-2</v>
      </c>
      <c r="G5" t="s">
        <v>11</v>
      </c>
    </row>
    <row r="6" spans="1:7">
      <c r="A6" t="s">
        <v>14</v>
      </c>
      <c r="B6" s="5">
        <v>-120</v>
      </c>
      <c r="C6" t="s">
        <v>15</v>
      </c>
      <c r="E6" t="s">
        <v>16</v>
      </c>
      <c r="F6" s="7">
        <f>At-Ae</f>
        <v>2.1203130011216056E-2</v>
      </c>
      <c r="G6" t="s">
        <v>11</v>
      </c>
    </row>
    <row r="7" spans="1:7">
      <c r="B7" s="9"/>
      <c r="F7" s="10"/>
    </row>
    <row r="8" spans="1:7">
      <c r="A8" s="1" t="s">
        <v>17</v>
      </c>
      <c r="B8" s="2"/>
      <c r="C8" s="3"/>
      <c r="E8" s="11"/>
      <c r="F8" s="10"/>
      <c r="G8" s="12"/>
    </row>
    <row r="9" spans="1:7">
      <c r="A9" t="s">
        <v>18</v>
      </c>
      <c r="B9" s="5">
        <v>0</v>
      </c>
      <c r="E9" s="11"/>
      <c r="F9" s="10"/>
    </row>
    <row r="10" spans="1:7">
      <c r="A10" t="s">
        <v>19</v>
      </c>
      <c r="B10" s="5">
        <v>0.4</v>
      </c>
      <c r="C10" t="s">
        <v>20</v>
      </c>
      <c r="E10" s="11"/>
      <c r="F10" s="10"/>
    </row>
    <row r="11" spans="1:7">
      <c r="A11" t="s">
        <v>21</v>
      </c>
      <c r="B11" s="5">
        <v>0.3</v>
      </c>
      <c r="C11" t="s">
        <v>20</v>
      </c>
      <c r="E11" s="11"/>
      <c r="F11" s="10"/>
    </row>
    <row r="12" spans="1:7">
      <c r="A12" t="s">
        <v>22</v>
      </c>
      <c r="B12" s="9">
        <v>0.3</v>
      </c>
      <c r="C12" t="s">
        <v>20</v>
      </c>
      <c r="E12" s="11"/>
      <c r="F12" s="10"/>
    </row>
    <row r="13" spans="1:7">
      <c r="A13" t="s">
        <v>23</v>
      </c>
      <c r="B13" s="9">
        <v>1.6</v>
      </c>
      <c r="C13" t="s">
        <v>20</v>
      </c>
      <c r="E13" s="11"/>
      <c r="F13" s="10"/>
    </row>
    <row r="14" spans="1:7">
      <c r="A14" t="s">
        <v>24</v>
      </c>
      <c r="B14" s="5">
        <v>0.1834625</v>
      </c>
      <c r="C14" t="s">
        <v>20</v>
      </c>
      <c r="E14" s="11"/>
      <c r="F14" s="10"/>
    </row>
    <row r="15" spans="1:7">
      <c r="A15" t="s">
        <v>25</v>
      </c>
      <c r="B15" s="13">
        <f>a0/W</f>
        <v>0.45865624999999999</v>
      </c>
      <c r="E15" s="11"/>
      <c r="F15" s="10"/>
    </row>
    <row r="16" spans="1:7">
      <c r="A16" t="s">
        <v>26</v>
      </c>
      <c r="B16" s="9">
        <f>(1-a0_W)*W</f>
        <v>0.21653750000000002</v>
      </c>
      <c r="C16" t="s">
        <v>20</v>
      </c>
      <c r="E16" s="11"/>
      <c r="F16" s="10"/>
    </row>
    <row r="17" spans="1:6">
      <c r="A17" t="s">
        <v>27</v>
      </c>
      <c r="B17" s="9">
        <f>(3*a0_W^0.5)/(2*(1+2*a0_W))*(1.99-a0_W*(1-a0_W)*(2.15-3.93*a0_W+2.7*a0_W^2))/(1-a0_W)^1.5</f>
        <v>2.3448236870103427</v>
      </c>
      <c r="E17" s="11"/>
      <c r="F17" s="10"/>
    </row>
    <row r="18" spans="1:6">
      <c r="A18" t="s">
        <v>28</v>
      </c>
      <c r="B18" s="9">
        <v>1.9</v>
      </c>
      <c r="E18" s="11"/>
      <c r="F18" s="10"/>
    </row>
    <row r="19" spans="1:6">
      <c r="A19" s="1" t="s">
        <v>29</v>
      </c>
      <c r="B19" s="2"/>
      <c r="C19" s="3"/>
      <c r="E19" s="11"/>
      <c r="F19" s="10"/>
    </row>
    <row r="20" spans="1:6">
      <c r="A20" t="s">
        <v>30</v>
      </c>
      <c r="B20" s="5">
        <v>210250</v>
      </c>
      <c r="C20" t="s">
        <v>31</v>
      </c>
      <c r="E20" s="11"/>
      <c r="F20" s="10"/>
    </row>
    <row r="21" spans="1:6">
      <c r="A21" t="s">
        <v>32</v>
      </c>
      <c r="B21" s="5">
        <v>0.3</v>
      </c>
      <c r="E21" s="11"/>
      <c r="F21" s="10"/>
    </row>
    <row r="22" spans="1:6">
      <c r="A22" t="s">
        <v>33</v>
      </c>
      <c r="B22" s="13">
        <f>Youngs_modul/(1-Poissons_ratio^2)</f>
        <v>231043.95604395604</v>
      </c>
      <c r="C22" t="s">
        <v>31</v>
      </c>
      <c r="E22" s="11"/>
      <c r="F22" s="10"/>
    </row>
    <row r="23" spans="1:6">
      <c r="A23" t="s">
        <v>34</v>
      </c>
      <c r="B23" s="5">
        <v>700</v>
      </c>
      <c r="C23" t="s">
        <v>31</v>
      </c>
      <c r="E23" s="11"/>
      <c r="F23" s="10"/>
    </row>
    <row r="24" spans="1:6">
      <c r="B24" s="9"/>
      <c r="E24" s="11"/>
      <c r="F24" s="10"/>
    </row>
    <row r="25" spans="1:6">
      <c r="A25" t="s">
        <v>35</v>
      </c>
      <c r="B25" s="9">
        <f>SQRT((Plain_strain_E*b0*Yield_stress/3000))</f>
        <v>108.04439896374036</v>
      </c>
      <c r="C25" t="s">
        <v>36</v>
      </c>
      <c r="E25" s="11"/>
      <c r="F25" s="10"/>
    </row>
    <row r="26" spans="1:6">
      <c r="B26" s="9"/>
      <c r="E26" s="11"/>
      <c r="F26" s="10"/>
    </row>
    <row r="27" spans="1:6">
      <c r="A27" s="1" t="s">
        <v>37</v>
      </c>
      <c r="B27" s="2"/>
      <c r="C27" s="3"/>
      <c r="E27" s="11"/>
      <c r="F27" s="10"/>
    </row>
    <row r="28" spans="1:6">
      <c r="A28" t="s">
        <v>38</v>
      </c>
      <c r="B28" s="9">
        <f>(F2*B13/(B*W^1.5))*B17</f>
        <v>52.612274369124506</v>
      </c>
      <c r="C28" t="s">
        <v>36</v>
      </c>
      <c r="E28" s="11"/>
      <c r="F28" s="10"/>
    </row>
    <row r="29" spans="1:6">
      <c r="A29" t="s">
        <v>39</v>
      </c>
      <c r="B29" s="9">
        <f>B28^2/B22</f>
        <v>1.1980626810966717E-2</v>
      </c>
      <c r="C29" t="s">
        <v>40</v>
      </c>
      <c r="E29" s="11"/>
      <c r="F29" s="10"/>
    </row>
    <row r="30" spans="1:6">
      <c r="A30" t="s">
        <v>41</v>
      </c>
      <c r="B30" s="9">
        <f>0.1*B18*Ap/(B12*B16)</f>
        <v>6.2015350722639286E-2</v>
      </c>
      <c r="C30" t="s">
        <v>40</v>
      </c>
      <c r="E30" s="11"/>
      <c r="F30" s="10"/>
    </row>
    <row r="31" spans="1:6">
      <c r="A31" t="s">
        <v>42</v>
      </c>
      <c r="B31" s="9">
        <f>Je_plain_strain+Jp</f>
        <v>7.3995977533605997E-2</v>
      </c>
      <c r="C31" t="s">
        <v>40</v>
      </c>
      <c r="E31" s="11"/>
      <c r="F31" s="10"/>
    </row>
    <row r="32" spans="1:6">
      <c r="A32" s="14" t="s">
        <v>43</v>
      </c>
      <c r="B32" s="15">
        <f>SQRT(Jc_plain_strain*Plain_strain_E)</f>
        <v>130.75290964526954</v>
      </c>
      <c r="C32" s="14" t="s">
        <v>36</v>
      </c>
      <c r="E32" s="11"/>
      <c r="F32" s="10"/>
    </row>
    <row r="33" spans="1:6">
      <c r="A33" t="s">
        <v>44</v>
      </c>
      <c r="B33" s="9">
        <f>b0*Yield_stress*Plain_strain_E/B32^2/100</f>
        <v>20.484390510438246</v>
      </c>
      <c r="E33" s="11"/>
      <c r="F3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Sheet1</vt:lpstr>
      <vt:lpstr>Sheet1!a0</vt:lpstr>
      <vt:lpstr>Sheet1!a0_W</vt:lpstr>
      <vt:lpstr>Sheet1!Ae</vt:lpstr>
      <vt:lpstr>Sheet1!Ap</vt:lpstr>
      <vt:lpstr>At</vt:lpstr>
      <vt:lpstr>Sheet1!B</vt:lpstr>
      <vt:lpstr>Sheet1!b0</vt:lpstr>
      <vt:lpstr>Sheet1!Jc_plain_strain</vt:lpstr>
      <vt:lpstr>Sheet1!Je_plain_strain</vt:lpstr>
      <vt:lpstr>Sheet1!Jp</vt:lpstr>
      <vt:lpstr>Sheet1!Plain_strain_E</vt:lpstr>
      <vt:lpstr>Sheet1!Pmax</vt:lpstr>
      <vt:lpstr>Sheet1!Poissons_ratio</vt:lpstr>
      <vt:lpstr>Sheet1!W</vt:lpstr>
      <vt:lpstr>Sheet1!Yield_stress</vt:lpstr>
      <vt:lpstr>Sheet1!Youngs_modul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Spaetig, Philippe</dc:creator>
  <cp:lastModifiedBy>Spaetig, Philippe</cp:lastModifiedBy>
  <dcterms:created xsi:type="dcterms:W3CDTF">2026-03-10T15:36:11Z</dcterms:created>
  <dcterms:modified xsi:type="dcterms:W3CDTF">2026-03-10T15:37:01Z</dcterms:modified>
</cp:coreProperties>
</file>